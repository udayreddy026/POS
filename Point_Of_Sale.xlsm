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OS\"/>
    </mc:Choice>
  </mc:AlternateContent>
  <xr:revisionPtr revIDLastSave="0" documentId="13_ncr:1_{9F7377BC-5768-40D4-BE5B-E46FAB332FD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OS" sheetId="1" r:id="rId1"/>
    <sheet name="Items" sheetId="2" r:id="rId2"/>
    <sheet name="Sales" sheetId="3" r:id="rId3"/>
  </sheets>
  <definedNames>
    <definedName name="FooterRng">POS!$R$3:$S$7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</workbook>
</file>

<file path=xl/calcChain.xml><?xml version="1.0" encoding="utf-8"?>
<calcChain xmlns="http://schemas.openxmlformats.org/spreadsheetml/2006/main">
  <c r="N10" i="1" l="1"/>
  <c r="M6" i="1" l="1"/>
  <c r="D4" i="1" l="1"/>
  <c r="B5" i="1"/>
  <c r="B7" i="1"/>
  <c r="I3" i="1" l="1"/>
  <c r="S3" i="1" l="1"/>
  <c r="I4" i="1"/>
  <c r="S4" i="1"/>
  <c r="I5" i="1" l="1"/>
  <c r="S5" i="1" l="1"/>
  <c r="I8" i="1"/>
  <c r="S7" i="1" s="1"/>
</calcChain>
</file>

<file path=xl/sharedStrings.xml><?xml version="1.0" encoding="utf-8"?>
<sst xmlns="http://schemas.openxmlformats.org/spreadsheetml/2006/main" count="126" uniqueCount="59">
  <si>
    <t>Items</t>
  </si>
  <si>
    <t>Item ID</t>
  </si>
  <si>
    <t>Item Name</t>
  </si>
  <si>
    <t>Item Description</t>
  </si>
  <si>
    <t>Price</t>
  </si>
  <si>
    <t>Image</t>
  </si>
  <si>
    <t>Apple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</si>
  <si>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</si>
  <si>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</si>
  <si>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</si>
  <si>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</si>
  <si>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</si>
  <si>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</si>
  <si>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</si>
  <si>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</si>
  <si>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</si>
  <si>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</si>
  <si>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</si>
  <si>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</si>
  <si>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</si>
  <si>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</si>
  <si>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</si>
  <si>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</si>
  <si>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</si>
  <si>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</si>
  <si>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POINT OF SALE</t>
  </si>
  <si>
    <t>Subtotal:</t>
  </si>
  <si>
    <t>Tax:</t>
  </si>
  <si>
    <t>Total</t>
  </si>
  <si>
    <t>Total:</t>
  </si>
  <si>
    <t>Pay Type:</t>
  </si>
  <si>
    <t>Payment:</t>
  </si>
  <si>
    <t>Change:</t>
  </si>
  <si>
    <t>Price:</t>
  </si>
  <si>
    <t>Quantity:</t>
  </si>
  <si>
    <t>Scan Item:</t>
  </si>
  <si>
    <t>Sales Receipt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</si>
  <si>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</si>
  <si>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</si>
  <si>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</si>
  <si>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</si>
  <si>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</si>
  <si>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</si>
  <si>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</si>
  <si>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</si>
  <si>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</si>
  <si>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</si>
  <si>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</si>
  <si>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</si>
  <si>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</si>
  <si>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</si>
  <si>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MGT,Water Tank Streat,S R Puram, Chittoor</t>
  </si>
  <si>
    <t>Andhra Pradesh-517167</t>
  </si>
  <si>
    <t>T Vimala</t>
  </si>
  <si>
    <t>Vimala Genral Store</t>
  </si>
  <si>
    <t>Recept  #</t>
  </si>
  <si>
    <t>Uday</t>
  </si>
  <si>
    <t>RoomNo:03, Total Fess 4500</t>
  </si>
  <si>
    <t>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</si>
</sst>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₹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6"/>
        </stop>
        <stop position="1">
          <color theme="6" tint="0.80001220740379042"/>
        </stop>
      </gradientFill>
    </fill>
    <fill>
      <patternFill patternType="solid">
        <fgColor theme="6" tint="0.79998168889431442"/>
        <bgColor auto="1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right"/>
    </xf>
    <xf numFmtId="165" fontId="0" fillId="0" borderId="0" xfId="1" applyFont="1" applyAlignment="1">
      <alignment horizontal="right"/>
    </xf>
    <xf numFmtId="0" fontId="0" fillId="5" borderId="1" xfId="0" applyFill="1" applyBorder="1" applyAlignment="1">
      <alignment horizontal="center"/>
    </xf>
    <xf numFmtId="2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" fontId="0" fillId="4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4" borderId="1" xfId="0" applyFill="1" applyBorder="1" applyAlignment="1">
      <alignment horizontal="right"/>
    </xf>
    <xf numFmtId="0" fontId="0" fillId="4" borderId="1" xfId="0" applyFill="1" applyBorder="1" applyAlignment="1">
      <alignment horizontal="left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8" borderId="2" xfId="0" applyFill="1" applyBorder="1" applyAlignment="1">
      <alignment horizontal="right"/>
    </xf>
    <xf numFmtId="49" fontId="0" fillId="8" borderId="3" xfId="1" applyNumberFormat="1" applyFont="1" applyFill="1" applyBorder="1" applyAlignment="1">
      <alignment horizontal="right"/>
    </xf>
    <xf numFmtId="49" fontId="0" fillId="8" borderId="3" xfId="0" applyNumberFormat="1" applyFill="1" applyBorder="1" applyAlignment="1">
      <alignment horizontal="right"/>
    </xf>
    <xf numFmtId="166" fontId="0" fillId="8" borderId="3" xfId="1" applyNumberFormat="1" applyFont="1" applyFill="1" applyBorder="1"/>
    <xf numFmtId="166" fontId="0" fillId="8" borderId="3" xfId="1" applyNumberFormat="1" applyFont="1" applyFill="1" applyBorder="1" applyAlignment="1">
      <alignment horizontal="right"/>
    </xf>
    <xf numFmtId="166" fontId="0" fillId="4" borderId="0" xfId="1" applyNumberFormat="1" applyFont="1" applyFill="1" applyAlignment="1">
      <alignment horizontal="right"/>
    </xf>
    <xf numFmtId="166" fontId="0" fillId="4" borderId="0" xfId="0" applyNumberFormat="1" applyFill="1" applyAlignment="1">
      <alignment horizontal="right"/>
    </xf>
    <xf numFmtId="166" fontId="0" fillId="0" borderId="0" xfId="1" applyNumberFormat="1" applyFont="1" applyAlignment="1">
      <alignment horizontal="right"/>
    </xf>
    <xf numFmtId="166" fontId="0" fillId="0" borderId="0" xfId="0" applyNumberFormat="1" applyAlignment="1">
      <alignment horizontal="right"/>
    </xf>
    <xf numFmtId="166" fontId="0" fillId="0" borderId="0" xfId="0" applyNumberFormat="1"/>
    <xf numFmtId="166" fontId="0" fillId="4" borderId="0" xfId="1" applyNumberFormat="1" applyFont="1" applyFill="1"/>
    <xf numFmtId="166" fontId="0" fillId="0" borderId="0" xfId="1" applyNumberFormat="1" applyFont="1"/>
    <xf numFmtId="7" fontId="0" fillId="0" borderId="0" xfId="0" applyNumberFormat="1"/>
    <xf numFmtId="166" fontId="5" fillId="8" borderId="3" xfId="1" applyNumberFormat="1" applyFont="1" applyFill="1" applyBorder="1"/>
    <xf numFmtId="166" fontId="4" fillId="8" borderId="3" xfId="1" applyNumberFormat="1" applyFont="1" applyFill="1" applyBorder="1"/>
    <xf numFmtId="0" fontId="0" fillId="8" borderId="3" xfId="0" applyFill="1" applyBorder="1" applyAlignment="1">
      <alignment horizontal="right"/>
    </xf>
    <xf numFmtId="0" fontId="7" fillId="4" borderId="0" xfId="0" applyFont="1" applyFill="1" applyAlignment="1">
      <alignment horizontal="right"/>
    </xf>
    <xf numFmtId="0" fontId="7" fillId="4" borderId="8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0" fontId="2" fillId="6" borderId="0" xfId="0" applyFont="1" applyFill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6" xfId="0" applyFill="1" applyBorder="1" applyAlignment="1">
      <alignment horizontal="left"/>
    </xf>
    <xf numFmtId="0" fontId="0" fillId="8" borderId="7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6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7" fillId="4" borderId="0" xfId="0" applyFont="1" applyFill="1" applyAlignment="1">
      <alignment horizontal="left"/>
    </xf>
    <xf numFmtId="22" fontId="0" fillId="4" borderId="0" xfId="0" applyNumberFormat="1" applyFill="1" applyAlignment="1">
      <alignment horizontal="left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9" fillId="8" borderId="4" xfId="0" applyFont="1" applyFill="1" applyBorder="1" applyAlignment="1">
      <alignment horizontal="right"/>
    </xf>
    <xf numFmtId="0" fontId="8" fillId="8" borderId="4" xfId="0" applyFont="1" applyFill="1" applyBorder="1" applyAlignment="1">
      <alignment horizontal="left"/>
    </xf>
    <xf numFmtId="0" fontId="8" fillId="8" borderId="5" xfId="0" applyFont="1" applyFill="1" applyBorder="1" applyAlignment="1">
      <alignment horizontal="left"/>
    </xf>
    <xf numFmtId="0" fontId="8" fillId="8" borderId="6" xfId="0" applyFont="1" applyFill="1" applyBorder="1" applyAlignment="1">
      <alignment horizontal="left"/>
    </xf>
    <xf numFmtId="0" fontId="9" fillId="8" borderId="2" xfId="0" applyFont="1" applyFill="1" applyBorder="1" applyAlignment="1">
      <alignment horizontal="right"/>
    </xf>
    <xf numFmtId="0" fontId="8" fillId="8" borderId="2" xfId="0" applyFont="1" applyFill="1" applyBorder="1" applyAlignment="1">
      <alignment horizontal="right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6"/>
          </stop>
          <stop position="1">
            <color theme="6" tint="0.80001220740379042"/>
          </stop>
        </gradientFill>
      </fill>
    </dxf>
  </dxfs>
  <tableStyles count="0" defaultTableStyle="TableStyleMedium2" defaultPivotStyle="PivotStyleLight16"/>
  <colors>
    <mruColors>
      <color rgb="FFF6FC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1451252</xdr:colOff>
      <xdr:row>10</xdr:row>
      <xdr:rowOff>142875</xdr:rowOff>
    </xdr:from>
    <xdr:to>
      <xdr:col>6</xdr:col>
      <xdr:colOff>54750</xdr:colOff>
      <xdr:row>23</xdr:row>
      <xdr:rowOff>53340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839872" y="2306955"/>
          <a:ext cx="2017258" cy="2287905"/>
          <a:chOff x="1571625" y="2390775"/>
          <a:chExt cx="1992630" cy="2386965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9" name="ClearBtn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 editAs="oneCell">
    <xdr:from>
      <xdr:col>6</xdr:col>
      <xdr:colOff>379095</xdr:colOff>
      <xdr:row>10</xdr:row>
      <xdr:rowOff>142875</xdr:rowOff>
    </xdr:from>
    <xdr:to>
      <xdr:col>7</xdr:col>
      <xdr:colOff>226697</xdr:colOff>
      <xdr:row>13</xdr:row>
      <xdr:rowOff>120015</xdr:rowOff>
    </xdr:to>
    <xdr:sp macro="[0]!EnterPayType" textlink="">
      <xdr:nvSpPr>
        <xdr:cNvPr id="21" name="Cash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181475" y="2306955"/>
          <a:ext cx="457202" cy="52578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US" sz="3200"/>
        </a:p>
      </xdr:txBody>
    </xdr:sp>
    <xdr:clientData/>
  </xdr:twoCellAnchor>
  <xdr:twoCellAnchor editAs="oneCell">
    <xdr:from>
      <xdr:col>6</xdr:col>
      <xdr:colOff>476250</xdr:colOff>
      <xdr:row>11</xdr:row>
      <xdr:rowOff>99499</xdr:rowOff>
    </xdr:from>
    <xdr:to>
      <xdr:col>7</xdr:col>
      <xdr:colOff>140971</xdr:colOff>
      <xdr:row>12</xdr:row>
      <xdr:rowOff>179509</xdr:rowOff>
    </xdr:to>
    <xdr:pic macro="[0]!EnterPayType">
      <xdr:nvPicPr>
        <xdr:cNvPr id="2" name="Cash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8630" y="2446459"/>
          <a:ext cx="274321" cy="26289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</xdr:pic>
    <xdr:clientData/>
  </xdr:twoCellAnchor>
  <xdr:twoCellAnchor editAs="oneCell">
    <xdr:from>
      <xdr:col>7</xdr:col>
      <xdr:colOff>300038</xdr:colOff>
      <xdr:row>10</xdr:row>
      <xdr:rowOff>142875</xdr:rowOff>
    </xdr:from>
    <xdr:to>
      <xdr:col>8</xdr:col>
      <xdr:colOff>147638</xdr:colOff>
      <xdr:row>13</xdr:row>
      <xdr:rowOff>120015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4712018" y="2306955"/>
          <a:ext cx="457200" cy="525780"/>
          <a:chOff x="4395787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395787" y="2390775"/>
            <a:ext cx="45720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34136" y="2568150"/>
            <a:ext cx="364273" cy="27432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</xdr:pic>
    </xdr:grpSp>
    <xdr:clientData/>
  </xdr:twoCellAnchor>
  <xdr:twoCellAnchor editAs="oneCell">
    <xdr:from>
      <xdr:col>8</xdr:col>
      <xdr:colOff>190500</xdr:colOff>
      <xdr:row>10</xdr:row>
      <xdr:rowOff>142875</xdr:rowOff>
    </xdr:from>
    <xdr:to>
      <xdr:col>9</xdr:col>
      <xdr:colOff>38099</xdr:colOff>
      <xdr:row>13</xdr:row>
      <xdr:rowOff>120015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5212080" y="2306955"/>
          <a:ext cx="457199" cy="525780"/>
          <a:chOff x="4905375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4905375" y="2390775"/>
            <a:ext cx="45720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86300" y="2568150"/>
            <a:ext cx="274320" cy="27432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</xdr:pic>
    </xdr:grpSp>
    <xdr:clientData/>
  </xdr:twoCellAnchor>
  <xdr:twoCellAnchor editAs="oneCell">
    <xdr:from>
      <xdr:col>6</xdr:col>
      <xdr:colOff>409575</xdr:colOff>
      <xdr:row>13</xdr:row>
      <xdr:rowOff>184150</xdr:rowOff>
    </xdr:from>
    <xdr:to>
      <xdr:col>9</xdr:col>
      <xdr:colOff>47626</xdr:colOff>
      <xdr:row>16</xdr:row>
      <xdr:rowOff>161290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211955" y="2896870"/>
          <a:ext cx="1466851" cy="525780"/>
          <a:chOff x="3933825" y="3060700"/>
          <a:chExt cx="1466850" cy="548640"/>
        </a:xfrm>
      </xdr:grpSpPr>
      <xdr:sp macro="[0]!EnterPayemntCell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3933825" y="3060700"/>
            <a:ext cx="146685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 macro="[0]!EnterPayemntCell"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81375" y="3197860"/>
            <a:ext cx="274320" cy="27432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</xdr:pic>
    </xdr:grpSp>
    <xdr:clientData/>
  </xdr:twoCellAnchor>
  <xdr:twoCellAnchor editAs="oneCell">
    <xdr:from>
      <xdr:col>6</xdr:col>
      <xdr:colOff>428625</xdr:colOff>
      <xdr:row>20</xdr:row>
      <xdr:rowOff>76200</xdr:rowOff>
    </xdr:from>
    <xdr:to>
      <xdr:col>9</xdr:col>
      <xdr:colOff>66676</xdr:colOff>
      <xdr:row>23</xdr:row>
      <xdr:rowOff>53340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231005" y="4069080"/>
          <a:ext cx="1466851" cy="525780"/>
          <a:chOff x="3933825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3933825" y="4229100"/>
            <a:ext cx="146685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69500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419100</xdr:colOff>
      <xdr:row>17</xdr:row>
      <xdr:rowOff>34925</xdr:rowOff>
    </xdr:from>
    <xdr:to>
      <xdr:col>9</xdr:col>
      <xdr:colOff>57151</xdr:colOff>
      <xdr:row>20</xdr:row>
      <xdr:rowOff>12065</xdr:rowOff>
    </xdr:to>
    <xdr:grpSp>
      <xdr:nvGrpSpPr>
        <xdr:cNvPr id="33" name="PrintBtn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4221480" y="3479165"/>
          <a:ext cx="1466851" cy="525780"/>
          <a:chOff x="3933825" y="3632200"/>
          <a:chExt cx="1466850" cy="548640"/>
        </a:xfrm>
      </xdr:grpSpPr>
      <xdr:sp macro="[0]!PrintReceipt" textlink="">
        <xdr:nvSpPr>
          <xdr:cNvPr id="25" name="Butn6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3933825" y="3632200"/>
            <a:ext cx="1466850" cy="54864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 macro="[0]!PrintReceipt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52775" y="3769360"/>
            <a:ext cx="274320" cy="274320"/>
          </a:xfrm>
          <a:prstGeom prst="rect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</xdr:pic>
    </xdr:grpSp>
    <xdr:clientData/>
  </xdr:twoCellAnchor>
  <xdr:twoCellAnchor editAs="oneCell">
    <xdr:from>
      <xdr:col>10</xdr:col>
      <xdr:colOff>0</xdr:colOff>
      <xdr:row>19</xdr:row>
      <xdr:rowOff>0</xdr:rowOff>
    </xdr:from>
    <xdr:to>
      <xdr:col>14</xdr:col>
      <xdr:colOff>15240</xdr:colOff>
      <xdr:row>22</xdr:row>
      <xdr:rowOff>68581</xdr:rowOff>
    </xdr:to>
    <xdr:grpSp>
      <xdr:nvGrpSpPr>
        <xdr:cNvPr id="36" name="FooterGrp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240780" y="3810000"/>
          <a:ext cx="2834640" cy="617221"/>
          <a:chOff x="5948362" y="4429125"/>
          <a:chExt cx="2458552" cy="641665"/>
        </a:xfrm>
      </xdr:grpSpPr>
      <xdr:sp macro="" textlink="">
        <xdr:nvSpPr>
          <xdr:cNvPr id="34" name="TextBox 33" hidden="1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 hidden="1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58552" cy="2987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1014</a:t>
            </a:fld>
            <a:endParaRPr lang="en-US" sz="3600" b="1">
              <a:latin typeface="Code 128" panose="05000000000000000000" pitchFamily="2" charset="2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S62"/>
  <sheetViews>
    <sheetView showGridLines="0" tabSelected="1" zoomScaleNormal="100" workbookViewId="0">
      <selection activeCell="F8" sqref="F8"/>
    </sheetView>
  </sheetViews>
  <sheetFormatPr defaultRowHeight="14.4" x14ac:dyDescent="0.3"/>
  <cols>
    <col min="1" max="1" width="11" bestFit="1" customWidth="1"/>
    <col min="3" max="3" width="6.88671875" customWidth="1"/>
    <col min="4" max="4" width="10.88671875" bestFit="1" customWidth="1"/>
    <col min="11" max="11" width="11" customWidth="1"/>
    <col min="13" max="13" width="8.88671875" style="27"/>
    <col min="14" max="14" width="12.33203125" style="27" customWidth="1"/>
    <col min="15" max="15" width="74.33203125" customWidth="1"/>
  </cols>
  <sheetData>
    <row r="1" spans="1:19" ht="40.799999999999997" x14ac:dyDescent="0.75">
      <c r="A1" s="3"/>
      <c r="B1" s="3"/>
      <c r="C1" s="37" t="s">
        <v>25</v>
      </c>
      <c r="D1" s="37"/>
      <c r="E1" s="37"/>
      <c r="F1" s="37"/>
      <c r="G1" s="37"/>
      <c r="H1" s="37"/>
      <c r="I1" s="37"/>
      <c r="J1" s="37"/>
      <c r="K1" s="42" t="s">
        <v>36</v>
      </c>
      <c r="L1" s="43"/>
      <c r="M1" s="43"/>
      <c r="N1" s="43"/>
      <c r="O1" s="15"/>
    </row>
    <row r="2" spans="1:19" x14ac:dyDescent="0.3">
      <c r="A2" s="3"/>
      <c r="B2" s="3"/>
      <c r="C2" s="16"/>
      <c r="D2" s="16"/>
      <c r="E2" s="16"/>
      <c r="F2" s="16"/>
      <c r="G2" s="16"/>
      <c r="H2" s="16"/>
      <c r="I2" s="16"/>
      <c r="J2" s="16"/>
      <c r="K2" s="44" t="s">
        <v>54</v>
      </c>
      <c r="L2" s="45"/>
      <c r="M2" s="45"/>
      <c r="N2" s="45"/>
      <c r="O2" s="16"/>
    </row>
    <row r="3" spans="1:19" x14ac:dyDescent="0.3">
      <c r="A3" s="4"/>
      <c r="B3" s="4"/>
      <c r="C3" s="17"/>
      <c r="D3" s="50" t="s">
        <v>2</v>
      </c>
      <c r="E3" s="38" t="s">
        <v>7</v>
      </c>
      <c r="F3" s="39"/>
      <c r="G3" s="17"/>
      <c r="H3" s="18" t="s">
        <v>26</v>
      </c>
      <c r="I3" s="21">
        <f>SUMIF(K10:K999,"&lt;&gt;",N10:N999)</f>
        <v>9.9</v>
      </c>
      <c r="J3" s="17"/>
      <c r="K3" s="44" t="s">
        <v>51</v>
      </c>
      <c r="L3" s="45"/>
      <c r="M3" s="45"/>
      <c r="N3" s="45"/>
      <c r="O3" s="17"/>
      <c r="R3" s="5" t="s">
        <v>26</v>
      </c>
      <c r="S3" s="6">
        <f>I3</f>
        <v>9.9</v>
      </c>
    </row>
    <row r="4" spans="1:19" x14ac:dyDescent="0.3">
      <c r="A4" s="13" t="s">
        <v>44</v>
      </c>
      <c r="B4" s="14" t="b">
        <v>0</v>
      </c>
      <c r="C4" s="17"/>
      <c r="D4" s="51" t="str">
        <f ca="1">IFERROR(INDEX(Item_Desc,MATCH(E3,Item_Name,0),1),"")</f>
        <v>Bananas from Ecuador</v>
      </c>
      <c r="E4" s="52"/>
      <c r="F4" s="53"/>
      <c r="G4" s="17"/>
      <c r="H4" s="18" t="s">
        <v>27</v>
      </c>
      <c r="I4" s="21">
        <f>I3*0.1</f>
        <v>0.9900000000000001</v>
      </c>
      <c r="J4" s="17"/>
      <c r="K4" s="44" t="s">
        <v>52</v>
      </c>
      <c r="L4" s="45"/>
      <c r="M4" s="45"/>
      <c r="N4" s="45"/>
      <c r="O4" s="17"/>
      <c r="R4" s="5" t="s">
        <v>27</v>
      </c>
      <c r="S4" s="6">
        <f>I4</f>
        <v>0.9900000000000001</v>
      </c>
    </row>
    <row r="5" spans="1:19" x14ac:dyDescent="0.3">
      <c r="A5" s="13" t="s">
        <v>45</v>
      </c>
      <c r="B5" s="14" t="str">
        <f ca="1">IFERROR(MATCH(E10,Item_ID,0)+2,"")</f>
        <v/>
      </c>
      <c r="C5" s="17"/>
      <c r="D5" s="17"/>
      <c r="E5" s="17"/>
      <c r="F5" s="17"/>
      <c r="G5" s="17"/>
      <c r="H5" s="18" t="s">
        <v>29</v>
      </c>
      <c r="I5" s="31">
        <f>SUM(I3:I4)</f>
        <v>10.89</v>
      </c>
      <c r="J5" s="17"/>
      <c r="K5" s="4"/>
      <c r="L5" s="34" t="s">
        <v>55</v>
      </c>
      <c r="M5" s="36">
        <v>1014</v>
      </c>
      <c r="N5" s="36"/>
      <c r="O5" s="17"/>
      <c r="R5" s="5" t="s">
        <v>29</v>
      </c>
      <c r="S5" s="6">
        <f>I5</f>
        <v>10.89</v>
      </c>
    </row>
    <row r="6" spans="1:19" x14ac:dyDescent="0.3">
      <c r="A6" s="13" t="s">
        <v>46</v>
      </c>
      <c r="B6" s="14">
        <v>10</v>
      </c>
      <c r="C6" s="17"/>
      <c r="D6" s="17"/>
      <c r="E6" s="54" t="s">
        <v>33</v>
      </c>
      <c r="F6" s="22">
        <v>0.99</v>
      </c>
      <c r="G6" s="17"/>
      <c r="H6" s="18" t="s">
        <v>30</v>
      </c>
      <c r="I6" s="33" t="s">
        <v>58</v>
      </c>
      <c r="J6" s="17"/>
      <c r="K6" s="4"/>
      <c r="L6" s="34" t="s">
        <v>37</v>
      </c>
      <c r="M6" s="47">
        <f ca="1">NOW()</f>
        <v>44187.405146759258</v>
      </c>
      <c r="N6" s="36"/>
      <c r="O6" s="17"/>
      <c r="R6" s="5" t="s">
        <v>43</v>
      </c>
      <c r="S6" s="6">
        <v>1200</v>
      </c>
    </row>
    <row r="7" spans="1:19" x14ac:dyDescent="0.3">
      <c r="A7" s="13" t="s">
        <v>47</v>
      </c>
      <c r="B7" s="14">
        <f ca="1">IFERROR(MAX(RecNumb)+1,1000)</f>
        <v>1014</v>
      </c>
      <c r="C7" s="17"/>
      <c r="D7" s="17"/>
      <c r="E7" s="17"/>
      <c r="F7" s="17"/>
      <c r="G7" s="17"/>
      <c r="H7" s="18" t="s">
        <v>31</v>
      </c>
      <c r="I7" s="19"/>
      <c r="J7" s="17"/>
      <c r="K7" s="4"/>
      <c r="L7" s="34" t="s">
        <v>40</v>
      </c>
      <c r="M7" s="46" t="s">
        <v>53</v>
      </c>
      <c r="N7" s="36"/>
      <c r="O7" s="17"/>
      <c r="R7" s="5" t="s">
        <v>32</v>
      </c>
      <c r="S7" s="6">
        <f>I8</f>
        <v>-10.89</v>
      </c>
    </row>
    <row r="8" spans="1:19" x14ac:dyDescent="0.3">
      <c r="A8" s="4"/>
      <c r="B8" s="4"/>
      <c r="C8" s="17"/>
      <c r="D8" s="17"/>
      <c r="E8" s="54" t="s">
        <v>34</v>
      </c>
      <c r="F8" s="20">
        <v>10</v>
      </c>
      <c r="G8" s="17"/>
      <c r="H8" s="18" t="s">
        <v>32</v>
      </c>
      <c r="I8" s="32">
        <f>I7-I5</f>
        <v>-10.89</v>
      </c>
      <c r="J8" s="17"/>
      <c r="K8" s="4"/>
      <c r="L8" s="4"/>
      <c r="M8" s="4"/>
      <c r="N8" s="4"/>
      <c r="O8" s="17"/>
    </row>
    <row r="9" spans="1:19" x14ac:dyDescent="0.3">
      <c r="A9" s="3"/>
      <c r="B9" s="3"/>
      <c r="C9" s="17"/>
      <c r="D9" s="17"/>
      <c r="E9" s="17"/>
      <c r="F9" s="17"/>
      <c r="G9" s="17"/>
      <c r="H9" s="17"/>
      <c r="I9" s="17"/>
      <c r="J9" s="17"/>
      <c r="K9" s="35" t="s">
        <v>41</v>
      </c>
      <c r="L9" s="35" t="s">
        <v>42</v>
      </c>
      <c r="M9" s="35" t="s">
        <v>4</v>
      </c>
      <c r="N9" s="35" t="s">
        <v>28</v>
      </c>
      <c r="O9" s="17"/>
      <c r="R9" s="5"/>
    </row>
    <row r="10" spans="1:19" x14ac:dyDescent="0.3">
      <c r="A10" s="3"/>
      <c r="B10" s="3"/>
      <c r="C10" s="17"/>
      <c r="D10" s="55" t="s">
        <v>35</v>
      </c>
      <c r="E10" s="40">
        <v>1011</v>
      </c>
      <c r="F10" s="41"/>
      <c r="G10" s="17"/>
      <c r="H10" s="17"/>
      <c r="I10" s="17"/>
      <c r="J10" s="17"/>
      <c r="K10" s="4" t="s">
        <v>7</v>
      </c>
      <c r="L10" s="11">
        <v>10</v>
      </c>
      <c r="M10" s="23">
        <v>0.99</v>
      </c>
      <c r="N10" s="28">
        <f>L10*M10</f>
        <v>9.9</v>
      </c>
      <c r="O10" s="17"/>
      <c r="R10" s="5"/>
    </row>
    <row r="11" spans="1:19" x14ac:dyDescent="0.3">
      <c r="A11" s="3"/>
      <c r="B11" s="3"/>
      <c r="C11" s="17"/>
      <c r="D11" s="17"/>
      <c r="E11" s="17"/>
      <c r="F11" s="17"/>
      <c r="G11" s="17"/>
      <c r="H11" s="17"/>
      <c r="I11" s="17"/>
      <c r="J11" s="17"/>
      <c r="K11" s="4"/>
      <c r="L11" s="11"/>
      <c r="M11" s="23"/>
      <c r="N11" s="28"/>
      <c r="O11" s="17"/>
      <c r="R11" s="5"/>
    </row>
    <row r="12" spans="1:19" x14ac:dyDescent="0.3">
      <c r="A12" s="3"/>
      <c r="B12" s="3"/>
      <c r="C12" s="17"/>
      <c r="D12" s="17"/>
      <c r="E12" s="17"/>
      <c r="F12" s="17"/>
      <c r="G12" s="17"/>
      <c r="H12" s="17"/>
      <c r="I12" s="17"/>
      <c r="J12" s="17"/>
      <c r="K12" s="4"/>
      <c r="L12" s="11"/>
      <c r="M12" s="23"/>
      <c r="N12" s="28"/>
      <c r="O12" s="17"/>
      <c r="R12" s="5"/>
    </row>
    <row r="13" spans="1:19" x14ac:dyDescent="0.3">
      <c r="A13" s="3"/>
      <c r="B13" s="3"/>
      <c r="C13" s="17"/>
      <c r="D13" s="17"/>
      <c r="E13" s="17"/>
      <c r="F13" s="17"/>
      <c r="G13" s="17"/>
      <c r="H13" s="17"/>
      <c r="I13" s="17"/>
      <c r="J13" s="17"/>
      <c r="K13" s="4"/>
      <c r="L13" s="11"/>
      <c r="M13" s="23"/>
      <c r="N13" s="28"/>
      <c r="O13" s="17"/>
      <c r="R13" s="5"/>
    </row>
    <row r="14" spans="1:19" x14ac:dyDescent="0.3">
      <c r="A14" s="3"/>
      <c r="B14" s="3"/>
      <c r="C14" s="17"/>
      <c r="D14" s="17"/>
      <c r="E14" s="17"/>
      <c r="F14" s="17"/>
      <c r="G14" s="17"/>
      <c r="H14" s="17"/>
      <c r="I14" s="17"/>
      <c r="J14" s="17"/>
      <c r="K14" s="4"/>
      <c r="L14" s="11"/>
      <c r="M14" s="23"/>
      <c r="N14" s="28"/>
      <c r="O14" s="17"/>
    </row>
    <row r="15" spans="1:19" x14ac:dyDescent="0.3">
      <c r="A15" s="3"/>
      <c r="B15" s="3"/>
      <c r="C15" s="17"/>
      <c r="D15" s="17"/>
      <c r="E15" s="17"/>
      <c r="F15" s="17"/>
      <c r="G15" s="17"/>
      <c r="H15" s="17"/>
      <c r="I15" s="17"/>
      <c r="J15" s="17"/>
      <c r="K15" s="4"/>
      <c r="L15" s="11"/>
      <c r="M15" s="23"/>
      <c r="N15" s="28"/>
      <c r="O15" s="17"/>
    </row>
    <row r="16" spans="1:19" x14ac:dyDescent="0.3">
      <c r="A16" s="3"/>
      <c r="B16" s="3"/>
      <c r="C16" s="17"/>
      <c r="D16" s="17"/>
      <c r="E16" s="17"/>
      <c r="F16" s="17"/>
      <c r="G16" s="17"/>
      <c r="H16" s="17"/>
      <c r="I16" s="17"/>
      <c r="J16" s="17"/>
      <c r="K16" s="4"/>
      <c r="L16" s="11"/>
      <c r="M16" s="23"/>
      <c r="N16" s="28"/>
      <c r="O16" s="17"/>
    </row>
    <row r="17" spans="1:15" x14ac:dyDescent="0.3">
      <c r="A17" s="3"/>
      <c r="B17" s="3"/>
      <c r="C17" s="17"/>
      <c r="D17" s="17"/>
      <c r="E17" s="17"/>
      <c r="F17" s="17"/>
      <c r="G17" s="17"/>
      <c r="H17" s="17"/>
      <c r="I17" s="17"/>
      <c r="J17" s="17"/>
      <c r="K17" s="4"/>
      <c r="L17" s="11"/>
      <c r="M17" s="23"/>
      <c r="N17" s="28"/>
      <c r="O17" s="17"/>
    </row>
    <row r="18" spans="1:15" x14ac:dyDescent="0.3">
      <c r="A18" s="3"/>
      <c r="B18" s="3"/>
      <c r="C18" s="17"/>
      <c r="D18" s="17"/>
      <c r="E18" s="17"/>
      <c r="F18" s="17"/>
      <c r="G18" s="17"/>
      <c r="H18" s="17"/>
      <c r="I18" s="17"/>
      <c r="J18" s="17"/>
      <c r="K18" s="4"/>
      <c r="L18" s="11"/>
      <c r="M18" s="23"/>
      <c r="N18" s="28"/>
      <c r="O18" s="17"/>
    </row>
    <row r="19" spans="1:15" x14ac:dyDescent="0.3">
      <c r="A19" s="3"/>
      <c r="B19" s="3"/>
      <c r="C19" s="17"/>
      <c r="D19" s="17"/>
      <c r="E19" s="17"/>
      <c r="F19" s="17"/>
      <c r="G19" s="17"/>
      <c r="H19" s="17"/>
      <c r="I19" s="17"/>
      <c r="J19" s="17"/>
      <c r="K19" s="4"/>
      <c r="L19" s="11"/>
      <c r="M19" s="23"/>
      <c r="N19" s="28"/>
      <c r="O19" s="17"/>
    </row>
    <row r="20" spans="1:15" x14ac:dyDescent="0.3">
      <c r="A20" s="3"/>
      <c r="B20" s="3"/>
      <c r="C20" s="17"/>
      <c r="D20" s="17"/>
      <c r="E20" s="17"/>
      <c r="F20" s="17"/>
      <c r="G20" s="17"/>
      <c r="H20" s="17"/>
      <c r="I20" s="17"/>
      <c r="J20" s="17"/>
      <c r="K20" s="4"/>
      <c r="L20" s="11"/>
      <c r="M20" s="23"/>
      <c r="N20" s="28"/>
      <c r="O20" s="17"/>
    </row>
    <row r="21" spans="1:15" x14ac:dyDescent="0.3">
      <c r="A21" s="3"/>
      <c r="B21" s="3"/>
      <c r="C21" s="17"/>
      <c r="D21" s="17"/>
      <c r="E21" s="17"/>
      <c r="F21" s="17"/>
      <c r="G21" s="17"/>
      <c r="H21" s="17"/>
      <c r="I21" s="17"/>
      <c r="J21" s="17"/>
      <c r="K21" s="4"/>
      <c r="L21" s="11"/>
      <c r="M21" s="23"/>
      <c r="N21" s="28"/>
      <c r="O21" s="17"/>
    </row>
    <row r="22" spans="1:15" x14ac:dyDescent="0.3">
      <c r="A22" s="3"/>
      <c r="B22" s="3"/>
      <c r="C22" s="17"/>
      <c r="D22" s="17"/>
      <c r="E22" s="17"/>
      <c r="F22" s="17"/>
      <c r="G22" s="17"/>
      <c r="H22" s="17"/>
      <c r="I22" s="17"/>
      <c r="J22" s="17"/>
      <c r="K22" s="4"/>
      <c r="L22" s="11"/>
      <c r="M22" s="23"/>
      <c r="N22" s="28"/>
      <c r="O22" s="17"/>
    </row>
    <row r="23" spans="1:15" x14ac:dyDescent="0.3">
      <c r="A23" s="3"/>
      <c r="B23" s="3"/>
      <c r="C23" s="17"/>
      <c r="D23" s="17"/>
      <c r="E23" s="17"/>
      <c r="F23" s="17"/>
      <c r="G23" s="17"/>
      <c r="H23" s="17"/>
      <c r="I23" s="17"/>
      <c r="J23" s="17"/>
      <c r="K23" s="4"/>
      <c r="L23" s="11"/>
      <c r="M23" s="23"/>
      <c r="N23" s="28"/>
      <c r="O23" s="17"/>
    </row>
    <row r="24" spans="1:15" x14ac:dyDescent="0.3">
      <c r="A24" s="3"/>
      <c r="B24" s="3"/>
      <c r="C24" s="17"/>
      <c r="D24" s="17"/>
      <c r="E24" s="17"/>
      <c r="F24" s="17"/>
      <c r="G24" s="17"/>
      <c r="H24" s="17"/>
      <c r="I24" s="17"/>
      <c r="J24" s="17"/>
      <c r="K24" s="4"/>
      <c r="L24" s="11"/>
      <c r="M24" s="23"/>
      <c r="N24" s="28"/>
      <c r="O24" s="17"/>
    </row>
    <row r="25" spans="1:15" x14ac:dyDescent="0.3">
      <c r="A25" s="3"/>
      <c r="B25" s="3"/>
      <c r="C25" s="17"/>
      <c r="D25" s="17"/>
      <c r="E25" s="17"/>
      <c r="F25" s="17"/>
      <c r="G25" s="17"/>
      <c r="H25" s="17"/>
      <c r="I25" s="17"/>
      <c r="J25" s="17"/>
      <c r="K25" s="4"/>
      <c r="L25" s="11"/>
      <c r="M25" s="23"/>
      <c r="N25" s="28"/>
      <c r="O25" s="17"/>
    </row>
    <row r="26" spans="1:15" x14ac:dyDescent="0.3">
      <c r="A26" s="3"/>
      <c r="B26" s="3"/>
      <c r="C26" s="17"/>
      <c r="D26" s="17"/>
      <c r="E26" s="17"/>
      <c r="F26" s="17"/>
      <c r="G26" s="17"/>
      <c r="H26" s="17"/>
      <c r="I26" s="17"/>
      <c r="J26" s="17"/>
      <c r="K26" s="4"/>
      <c r="L26" s="4"/>
      <c r="M26" s="24"/>
      <c r="N26" s="28"/>
      <c r="O26" s="17"/>
    </row>
    <row r="27" spans="1:15" x14ac:dyDescent="0.3">
      <c r="A27" s="3"/>
      <c r="B27" s="3"/>
      <c r="C27" s="17"/>
      <c r="D27" s="17"/>
      <c r="E27" s="17"/>
      <c r="F27" s="17"/>
      <c r="G27" s="17"/>
      <c r="H27" s="17"/>
      <c r="I27" s="17"/>
      <c r="J27" s="17"/>
      <c r="K27" s="4"/>
      <c r="L27" s="4"/>
      <c r="M27" s="24"/>
      <c r="N27" s="28"/>
      <c r="O27" s="17"/>
    </row>
    <row r="28" spans="1:15" x14ac:dyDescent="0.3">
      <c r="A28" s="3"/>
      <c r="B28" s="3"/>
      <c r="C28" s="17"/>
      <c r="D28" s="17"/>
      <c r="E28" s="17"/>
      <c r="F28" s="17"/>
      <c r="G28" s="17"/>
      <c r="H28" s="17"/>
      <c r="I28" s="17"/>
      <c r="J28" s="17"/>
      <c r="K28" s="4"/>
      <c r="L28" s="4"/>
      <c r="M28" s="24"/>
      <c r="N28" s="28"/>
      <c r="O28" s="17"/>
    </row>
    <row r="29" spans="1:15" x14ac:dyDescent="0.3">
      <c r="A29" s="3"/>
      <c r="B29" s="3"/>
      <c r="C29" s="17"/>
      <c r="D29" s="17"/>
      <c r="E29" s="17"/>
      <c r="F29" s="17"/>
      <c r="G29" s="17"/>
      <c r="H29" s="17"/>
      <c r="I29" s="17"/>
      <c r="J29" s="17"/>
      <c r="K29" s="4"/>
      <c r="L29" s="4"/>
      <c r="M29" s="24"/>
      <c r="N29" s="28"/>
      <c r="O29" s="17"/>
    </row>
    <row r="30" spans="1:15" x14ac:dyDescent="0.3">
      <c r="A30" s="3"/>
      <c r="B30" s="3"/>
      <c r="C30" s="17"/>
      <c r="D30" s="17"/>
      <c r="E30" s="17"/>
      <c r="F30" s="17"/>
      <c r="G30" s="17"/>
      <c r="H30" s="17"/>
      <c r="I30" s="17"/>
      <c r="J30" s="17"/>
      <c r="K30" s="4"/>
      <c r="L30" s="4"/>
      <c r="M30" s="24"/>
      <c r="N30" s="28"/>
      <c r="O30" s="17"/>
    </row>
    <row r="31" spans="1:15" x14ac:dyDescent="0.3">
      <c r="A31" s="3"/>
      <c r="B31" s="3"/>
      <c r="C31" s="17"/>
      <c r="D31" s="17"/>
      <c r="E31" s="17"/>
      <c r="F31" s="17"/>
      <c r="G31" s="17"/>
      <c r="H31" s="17"/>
      <c r="I31" s="17"/>
      <c r="J31" s="17"/>
      <c r="K31" s="4"/>
      <c r="L31" s="4"/>
      <c r="M31" s="24"/>
      <c r="N31" s="28"/>
      <c r="O31" s="17"/>
    </row>
    <row r="32" spans="1:15" x14ac:dyDescent="0.3">
      <c r="A32" s="3"/>
      <c r="B32" s="3"/>
      <c r="C32" s="17"/>
      <c r="D32" s="17"/>
      <c r="E32" s="17"/>
      <c r="F32" s="17"/>
      <c r="G32" s="17"/>
      <c r="H32" s="17"/>
      <c r="I32" s="17"/>
      <c r="J32" s="17"/>
      <c r="K32" s="4"/>
      <c r="L32" s="4"/>
      <c r="M32" s="24"/>
      <c r="N32" s="28"/>
      <c r="O32" s="17"/>
    </row>
    <row r="33" spans="1:15" x14ac:dyDescent="0.3">
      <c r="A33" s="3"/>
      <c r="B33" s="3"/>
      <c r="C33" s="17"/>
      <c r="D33" s="17"/>
      <c r="E33" s="17"/>
      <c r="F33" s="17"/>
      <c r="G33" s="17"/>
      <c r="H33" s="17"/>
      <c r="I33" s="17"/>
      <c r="J33" s="17"/>
      <c r="K33" s="4"/>
      <c r="L33" s="4"/>
      <c r="M33" s="24"/>
      <c r="N33" s="28"/>
      <c r="O33" s="17"/>
    </row>
    <row r="34" spans="1:15" x14ac:dyDescent="0.3">
      <c r="A34" s="3"/>
      <c r="B34" s="3"/>
      <c r="C34" s="17"/>
      <c r="D34" s="17"/>
      <c r="E34" s="17"/>
      <c r="F34" s="17"/>
      <c r="G34" s="17"/>
      <c r="H34" s="17"/>
      <c r="I34" s="17"/>
      <c r="J34" s="17"/>
      <c r="K34" s="4"/>
      <c r="L34" s="4"/>
      <c r="M34" s="24"/>
      <c r="N34" s="28"/>
      <c r="O34" s="17"/>
    </row>
    <row r="35" spans="1:15" x14ac:dyDescent="0.3">
      <c r="A35" s="3"/>
      <c r="B35" s="3"/>
      <c r="C35" s="17"/>
      <c r="D35" s="17"/>
      <c r="E35" s="17"/>
      <c r="F35" s="17"/>
      <c r="G35" s="17"/>
      <c r="H35" s="17"/>
      <c r="I35" s="17"/>
      <c r="J35" s="17"/>
      <c r="K35" s="4"/>
      <c r="L35" s="4"/>
      <c r="M35" s="24"/>
      <c r="N35" s="28"/>
      <c r="O35" s="17"/>
    </row>
    <row r="36" spans="1:15" x14ac:dyDescent="0.3">
      <c r="A36" s="3"/>
      <c r="B36" s="3"/>
      <c r="C36" s="17"/>
      <c r="D36" s="17"/>
      <c r="E36" s="17"/>
      <c r="F36" s="17"/>
      <c r="G36" s="17"/>
      <c r="H36" s="17"/>
      <c r="I36" s="17"/>
      <c r="J36" s="17"/>
      <c r="K36" s="4"/>
      <c r="L36" s="4"/>
      <c r="M36" s="24"/>
      <c r="N36" s="28"/>
      <c r="O36" s="17"/>
    </row>
    <row r="37" spans="1:15" x14ac:dyDescent="0.3">
      <c r="K37" s="4"/>
      <c r="L37" s="11"/>
      <c r="M37" s="23"/>
      <c r="N37" s="28"/>
      <c r="O37" s="17"/>
    </row>
    <row r="38" spans="1:15" x14ac:dyDescent="0.3">
      <c r="L38" s="12"/>
      <c r="M38" s="25"/>
      <c r="N38" s="29"/>
    </row>
    <row r="39" spans="1:15" x14ac:dyDescent="0.3">
      <c r="L39" s="10"/>
      <c r="M39" s="25"/>
      <c r="N39" s="29"/>
    </row>
    <row r="40" spans="1:15" x14ac:dyDescent="0.3">
      <c r="L40" s="10"/>
      <c r="M40" s="25"/>
      <c r="N40" s="29"/>
    </row>
    <row r="41" spans="1:15" x14ac:dyDescent="0.3">
      <c r="L41" s="10"/>
      <c r="M41" s="25"/>
      <c r="N41" s="29"/>
    </row>
    <row r="42" spans="1:15" x14ac:dyDescent="0.3">
      <c r="M42" s="25"/>
      <c r="N42" s="29"/>
    </row>
    <row r="43" spans="1:15" x14ac:dyDescent="0.3">
      <c r="M43" s="25"/>
      <c r="N43" s="29"/>
    </row>
    <row r="44" spans="1:15" x14ac:dyDescent="0.3">
      <c r="M44" s="26"/>
    </row>
    <row r="45" spans="1:15" x14ac:dyDescent="0.3">
      <c r="M45" s="26"/>
    </row>
    <row r="46" spans="1:15" x14ac:dyDescent="0.3">
      <c r="M46" s="26"/>
    </row>
    <row r="47" spans="1:15" x14ac:dyDescent="0.3">
      <c r="M47" s="26"/>
    </row>
    <row r="48" spans="1:15" x14ac:dyDescent="0.3">
      <c r="M48" s="26"/>
    </row>
    <row r="49" spans="13:13" x14ac:dyDescent="0.3">
      <c r="M49" s="26"/>
    </row>
    <row r="50" spans="13:13" x14ac:dyDescent="0.3">
      <c r="M50" s="26"/>
    </row>
    <row r="51" spans="13:13" x14ac:dyDescent="0.3">
      <c r="M51" s="26"/>
    </row>
    <row r="52" spans="13:13" x14ac:dyDescent="0.3">
      <c r="M52" s="26"/>
    </row>
    <row r="53" spans="13:13" x14ac:dyDescent="0.3">
      <c r="M53" s="26"/>
    </row>
    <row r="54" spans="13:13" x14ac:dyDescent="0.3">
      <c r="M54" s="26"/>
    </row>
    <row r="55" spans="13:13" x14ac:dyDescent="0.3">
      <c r="M55" s="26"/>
    </row>
    <row r="56" spans="13:13" x14ac:dyDescent="0.3">
      <c r="M56" s="26"/>
    </row>
    <row r="57" spans="13:13" x14ac:dyDescent="0.3">
      <c r="M57" s="26"/>
    </row>
    <row r="58" spans="13:13" x14ac:dyDescent="0.3">
      <c r="M58" s="26"/>
    </row>
    <row r="59" spans="13:13" x14ac:dyDescent="0.3">
      <c r="M59" s="26"/>
    </row>
    <row r="60" spans="13:13" x14ac:dyDescent="0.3">
      <c r="M60" s="26"/>
    </row>
    <row r="61" spans="13:13" x14ac:dyDescent="0.3">
      <c r="M61" s="26"/>
    </row>
    <row r="62" spans="13:13" x14ac:dyDescent="0.3">
      <c r="M62" s="26"/>
    </row>
  </sheetData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N25 K37:N60">
    <cfRule type="expression" dxfId="2" priority="3">
      <formula>$B$6=ROW()</formula>
    </cfRule>
  </conditionalFormatting>
  <conditionalFormatting sqref="K10:N25 K37:N52">
    <cfRule type="expression" dxfId="1" priority="2">
      <formula>$M10="Total:"</formula>
    </cfRule>
  </conditionalFormatting>
  <conditionalFormatting sqref="K10:N25 K37:N43">
    <cfRule type="expression" dxfId="0" priority="1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"/>
  <sheetViews>
    <sheetView workbookViewId="0">
      <selection activeCell="A6" sqref="A6:XFD6"/>
    </sheetView>
  </sheetViews>
  <sheetFormatPr defaultRowHeight="14.4" x14ac:dyDescent="0.3"/>
  <cols>
    <col min="2" max="2" width="10.88671875" bestFit="1" customWidth="1"/>
    <col min="3" max="3" width="32" bestFit="1" customWidth="1"/>
    <col min="5" max="5" width="44.5546875" bestFit="1" customWidth="1"/>
  </cols>
  <sheetData>
    <row r="1" spans="1:5" x14ac:dyDescent="0.3">
      <c r="A1" s="48" t="s">
        <v>0</v>
      </c>
      <c r="B1" s="48"/>
      <c r="C1" s="48"/>
      <c r="D1" s="48"/>
      <c r="E1" s="48"/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</row>
    <row r="3" spans="1:5" x14ac:dyDescent="0.3">
      <c r="A3" s="1">
        <v>1001</v>
      </c>
      <c r="B3" t="s">
        <v>56</v>
      </c>
      <c r="C3" t="s">
        <v>57</v>
      </c>
      <c r="D3">
        <v>4500</v>
      </c>
    </row>
    <row r="4" spans="1:5" x14ac:dyDescent="0.3">
      <c r="A4" s="1">
        <v>1002</v>
      </c>
      <c r="B4" t="s">
        <v>7</v>
      </c>
      <c r="C4" t="s">
        <v>8</v>
      </c>
      <c r="D4">
        <v>0.99</v>
      </c>
    </row>
    <row r="5" spans="1:5" x14ac:dyDescent="0.3">
      <c r="A5" s="1">
        <v>1003</v>
      </c>
      <c r="B5" t="s">
        <v>9</v>
      </c>
      <c r="C5" t="s">
        <v>10</v>
      </c>
      <c r="D5">
        <v>5.99</v>
      </c>
    </row>
    <row r="6" spans="1:5" x14ac:dyDescent="0.3">
      <c r="A6" s="1">
        <v>1004</v>
      </c>
      <c r="B6" t="s">
        <v>11</v>
      </c>
      <c r="C6" t="s">
        <v>12</v>
      </c>
      <c r="D6">
        <v>1.95</v>
      </c>
    </row>
    <row r="7" spans="1:5" x14ac:dyDescent="0.3">
      <c r="A7" s="1">
        <v>1005</v>
      </c>
      <c r="B7" t="s">
        <v>13</v>
      </c>
      <c r="C7" t="s">
        <v>14</v>
      </c>
      <c r="D7">
        <v>3.49</v>
      </c>
    </row>
    <row r="8" spans="1:5" x14ac:dyDescent="0.3">
      <c r="A8" s="1">
        <v>1006</v>
      </c>
      <c r="B8" t="s">
        <v>15</v>
      </c>
      <c r="C8" t="s">
        <v>16</v>
      </c>
      <c r="D8">
        <v>1.99</v>
      </c>
    </row>
    <row r="9" spans="1:5" x14ac:dyDescent="0.3">
      <c r="A9" s="1">
        <v>1007</v>
      </c>
      <c r="B9" t="s">
        <v>17</v>
      </c>
      <c r="C9" t="s">
        <v>18</v>
      </c>
      <c r="D9">
        <v>3.99</v>
      </c>
    </row>
    <row r="10" spans="1:5" x14ac:dyDescent="0.3">
      <c r="A10" s="1">
        <v>1008</v>
      </c>
      <c r="B10" t="s">
        <v>19</v>
      </c>
      <c r="C10" t="s">
        <v>20</v>
      </c>
      <c r="D10">
        <v>4.95</v>
      </c>
    </row>
    <row r="11" spans="1:5" x14ac:dyDescent="0.3">
      <c r="A11" s="1">
        <v>1009</v>
      </c>
      <c r="B11" t="s">
        <v>21</v>
      </c>
      <c r="C11" t="s">
        <v>22</v>
      </c>
      <c r="D11">
        <v>4.95</v>
      </c>
    </row>
    <row r="12" spans="1:5" x14ac:dyDescent="0.3">
      <c r="A12" s="1">
        <v>1010</v>
      </c>
      <c r="B12" t="s">
        <v>23</v>
      </c>
      <c r="C12" t="s">
        <v>24</v>
      </c>
      <c r="D12">
        <v>4.45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31"/>
  <sheetViews>
    <sheetView workbookViewId="0">
      <selection activeCell="A3" sqref="A3"/>
    </sheetView>
  </sheetViews>
  <sheetFormatPr defaultRowHeight="14.4" x14ac:dyDescent="0.3"/>
  <cols>
    <col min="2" max="2" width="15.44140625" bestFit="1" customWidth="1"/>
    <col min="3" max="3" width="13.5546875" bestFit="1" customWidth="1"/>
    <col min="5" max="5" width="4.109375" bestFit="1" customWidth="1"/>
    <col min="6" max="6" width="6.109375" bestFit="1" customWidth="1"/>
    <col min="7" max="7" width="8" bestFit="1" customWidth="1"/>
  </cols>
  <sheetData>
    <row r="1" spans="1:7" x14ac:dyDescent="0.3">
      <c r="A1" s="49" t="s">
        <v>48</v>
      </c>
      <c r="B1" s="49"/>
      <c r="C1" s="49"/>
      <c r="D1" s="49"/>
      <c r="E1" s="49"/>
      <c r="F1" s="49"/>
      <c r="G1" s="49"/>
    </row>
    <row r="2" spans="1:7" x14ac:dyDescent="0.3">
      <c r="A2" s="7" t="s">
        <v>49</v>
      </c>
      <c r="B2" s="7" t="s">
        <v>50</v>
      </c>
      <c r="C2" s="7" t="s">
        <v>38</v>
      </c>
      <c r="D2" s="7" t="s">
        <v>41</v>
      </c>
      <c r="E2" s="7" t="s">
        <v>42</v>
      </c>
      <c r="F2" s="7" t="s">
        <v>4</v>
      </c>
      <c r="G2" s="7" t="s">
        <v>28</v>
      </c>
    </row>
    <row r="3" spans="1:7" x14ac:dyDescent="0.3">
      <c r="A3">
        <v>1007</v>
      </c>
      <c r="B3" s="8">
        <v>44046.766435185185</v>
      </c>
      <c r="C3" t="s">
        <v>39</v>
      </c>
      <c r="D3" t="s">
        <v>6</v>
      </c>
      <c r="E3">
        <v>1</v>
      </c>
      <c r="F3" s="9">
        <v>2.99</v>
      </c>
      <c r="G3" s="9">
        <v>2.99</v>
      </c>
    </row>
    <row r="4" spans="1:7" x14ac:dyDescent="0.3">
      <c r="A4">
        <v>1007</v>
      </c>
      <c r="B4" s="8">
        <v>44046.766435185185</v>
      </c>
      <c r="C4" t="s">
        <v>39</v>
      </c>
      <c r="D4" t="s">
        <v>7</v>
      </c>
      <c r="E4">
        <v>1</v>
      </c>
      <c r="F4" s="9">
        <v>0.99</v>
      </c>
      <c r="G4" s="9">
        <v>0.99</v>
      </c>
    </row>
    <row r="5" spans="1:7" x14ac:dyDescent="0.3">
      <c r="A5">
        <v>1008</v>
      </c>
      <c r="B5" s="8">
        <v>44046.771307870367</v>
      </c>
      <c r="C5" t="s">
        <v>39</v>
      </c>
      <c r="E5">
        <v>1</v>
      </c>
      <c r="F5" s="9">
        <v>2.99</v>
      </c>
      <c r="G5" s="9">
        <v>2.99</v>
      </c>
    </row>
    <row r="6" spans="1:7" x14ac:dyDescent="0.3">
      <c r="A6">
        <v>1008</v>
      </c>
      <c r="B6" s="8">
        <v>44046.771307870367</v>
      </c>
      <c r="C6" t="s">
        <v>39</v>
      </c>
      <c r="D6" t="s">
        <v>13</v>
      </c>
      <c r="E6">
        <v>1</v>
      </c>
      <c r="F6" s="9">
        <v>3.49</v>
      </c>
      <c r="G6" s="9">
        <v>3.49</v>
      </c>
    </row>
    <row r="7" spans="1:7" x14ac:dyDescent="0.3">
      <c r="A7">
        <v>1008</v>
      </c>
      <c r="B7" s="8">
        <v>44046.771307870367</v>
      </c>
      <c r="C7" t="s">
        <v>39</v>
      </c>
      <c r="D7" t="s">
        <v>21</v>
      </c>
      <c r="E7">
        <v>1</v>
      </c>
      <c r="F7" s="9">
        <v>4.95</v>
      </c>
      <c r="G7" s="9">
        <v>4.95</v>
      </c>
    </row>
    <row r="8" spans="1:7" x14ac:dyDescent="0.3">
      <c r="A8">
        <v>1008</v>
      </c>
      <c r="B8" s="8">
        <v>44046.771307870367</v>
      </c>
      <c r="C8" t="s">
        <v>39</v>
      </c>
      <c r="D8" t="s">
        <v>13</v>
      </c>
      <c r="E8">
        <v>1</v>
      </c>
      <c r="F8" s="9">
        <v>3.49</v>
      </c>
      <c r="G8" s="9">
        <v>3.49</v>
      </c>
    </row>
    <row r="9" spans="1:7" x14ac:dyDescent="0.3">
      <c r="A9">
        <v>1008</v>
      </c>
      <c r="B9" s="8">
        <v>44046.771307870367</v>
      </c>
      <c r="C9" t="s">
        <v>39</v>
      </c>
      <c r="D9" t="s">
        <v>17</v>
      </c>
      <c r="E9">
        <v>3</v>
      </c>
      <c r="F9" s="9">
        <v>3.99</v>
      </c>
      <c r="G9" s="9">
        <v>11.97</v>
      </c>
    </row>
    <row r="10" spans="1:7" x14ac:dyDescent="0.3">
      <c r="A10">
        <v>1009</v>
      </c>
      <c r="B10" s="8">
        <v>44046.771956018521</v>
      </c>
      <c r="C10" t="s">
        <v>39</v>
      </c>
      <c r="D10" t="s">
        <v>7</v>
      </c>
      <c r="E10">
        <v>1</v>
      </c>
      <c r="F10" s="9">
        <v>0.99</v>
      </c>
      <c r="G10" s="9">
        <v>0.99</v>
      </c>
    </row>
    <row r="11" spans="1:7" x14ac:dyDescent="0.3">
      <c r="A11">
        <v>1009</v>
      </c>
      <c r="B11" s="8">
        <v>44046.771956018521</v>
      </c>
      <c r="C11" t="s">
        <v>39</v>
      </c>
      <c r="D11" t="s">
        <v>11</v>
      </c>
      <c r="E11">
        <v>1</v>
      </c>
      <c r="F11" s="9">
        <v>1.95</v>
      </c>
      <c r="G11" s="9">
        <v>1.95</v>
      </c>
    </row>
    <row r="12" spans="1:7" x14ac:dyDescent="0.3">
      <c r="A12">
        <v>1009</v>
      </c>
      <c r="B12" s="8">
        <v>44046.771956018521</v>
      </c>
      <c r="C12" t="s">
        <v>39</v>
      </c>
      <c r="D12" t="s">
        <v>13</v>
      </c>
      <c r="E12">
        <v>1</v>
      </c>
      <c r="F12" s="9">
        <v>3.49</v>
      </c>
      <c r="G12" s="9">
        <v>3.49</v>
      </c>
    </row>
    <row r="13" spans="1:7" x14ac:dyDescent="0.3">
      <c r="A13">
        <v>1010</v>
      </c>
      <c r="B13" s="8">
        <v>44046.773888888885</v>
      </c>
      <c r="C13" t="s">
        <v>39</v>
      </c>
      <c r="D13" t="s">
        <v>7</v>
      </c>
      <c r="E13">
        <v>1</v>
      </c>
      <c r="F13" s="9">
        <v>0.99</v>
      </c>
      <c r="G13" s="9">
        <v>0.99</v>
      </c>
    </row>
    <row r="14" spans="1:7" x14ac:dyDescent="0.3">
      <c r="A14">
        <v>1010</v>
      </c>
      <c r="B14" s="8">
        <v>44046.773888888885</v>
      </c>
      <c r="C14" t="s">
        <v>39</v>
      </c>
      <c r="D14" t="s">
        <v>11</v>
      </c>
      <c r="E14">
        <v>1</v>
      </c>
      <c r="F14" s="9">
        <v>1.95</v>
      </c>
      <c r="G14" s="9">
        <v>1.95</v>
      </c>
    </row>
    <row r="15" spans="1:7" x14ac:dyDescent="0.3">
      <c r="A15">
        <v>1010</v>
      </c>
      <c r="B15" s="8">
        <v>44046.773888888885</v>
      </c>
      <c r="C15" t="s">
        <v>39</v>
      </c>
      <c r="D15" t="s">
        <v>19</v>
      </c>
      <c r="E15">
        <v>1</v>
      </c>
      <c r="F15" s="9">
        <v>4.95</v>
      </c>
      <c r="G15" s="9">
        <v>4.95</v>
      </c>
    </row>
    <row r="16" spans="1:7" x14ac:dyDescent="0.3">
      <c r="A16">
        <v>1010</v>
      </c>
      <c r="B16" s="8">
        <v>44046.773888888885</v>
      </c>
      <c r="C16" t="s">
        <v>39</v>
      </c>
      <c r="D16" t="s">
        <v>15</v>
      </c>
      <c r="E16">
        <v>1</v>
      </c>
      <c r="F16" s="9">
        <v>1.99</v>
      </c>
      <c r="G16" s="9">
        <v>1.99</v>
      </c>
    </row>
    <row r="17" spans="1:7" x14ac:dyDescent="0.3">
      <c r="A17">
        <v>1010</v>
      </c>
      <c r="B17" s="8">
        <v>44046.773888888885</v>
      </c>
      <c r="C17" t="s">
        <v>39</v>
      </c>
      <c r="D17" t="s">
        <v>11</v>
      </c>
      <c r="E17">
        <v>1</v>
      </c>
      <c r="F17" s="9">
        <v>1.95</v>
      </c>
      <c r="G17" s="9">
        <v>1.95</v>
      </c>
    </row>
    <row r="18" spans="1:7" x14ac:dyDescent="0.3">
      <c r="A18">
        <v>1010</v>
      </c>
      <c r="B18" s="8">
        <v>44046.773888888885</v>
      </c>
      <c r="C18" t="s">
        <v>39</v>
      </c>
      <c r="D18" t="s">
        <v>21</v>
      </c>
      <c r="E18">
        <v>1</v>
      </c>
      <c r="F18" s="9">
        <v>4.95</v>
      </c>
      <c r="G18" s="9">
        <v>4.95</v>
      </c>
    </row>
    <row r="19" spans="1:7" x14ac:dyDescent="0.3">
      <c r="A19">
        <v>1010</v>
      </c>
      <c r="B19" s="8">
        <v>44046.773888888885</v>
      </c>
      <c r="C19" t="s">
        <v>39</v>
      </c>
      <c r="D19" t="s">
        <v>23</v>
      </c>
      <c r="E19">
        <v>1</v>
      </c>
      <c r="F19" s="9">
        <v>4.45</v>
      </c>
      <c r="G19" s="9">
        <v>4.45</v>
      </c>
    </row>
    <row r="20" spans="1:7" x14ac:dyDescent="0.3">
      <c r="A20">
        <v>1011</v>
      </c>
      <c r="B20" s="8">
        <v>44046.775335648148</v>
      </c>
      <c r="C20" t="s">
        <v>39</v>
      </c>
      <c r="D20" t="s">
        <v>6</v>
      </c>
      <c r="E20">
        <v>1</v>
      </c>
      <c r="F20" s="9">
        <v>2.99</v>
      </c>
      <c r="G20" s="9">
        <v>2.99</v>
      </c>
    </row>
    <row r="21" spans="1:7" x14ac:dyDescent="0.3">
      <c r="A21">
        <v>1011</v>
      </c>
      <c r="B21" s="8">
        <v>44046.775335648148</v>
      </c>
      <c r="C21" t="s">
        <v>39</v>
      </c>
      <c r="D21" t="s">
        <v>13</v>
      </c>
      <c r="E21">
        <v>1</v>
      </c>
      <c r="F21" s="9">
        <v>3.49</v>
      </c>
      <c r="G21" s="9">
        <v>3.49</v>
      </c>
    </row>
    <row r="22" spans="1:7" x14ac:dyDescent="0.3">
      <c r="A22">
        <v>1011</v>
      </c>
      <c r="B22" s="8">
        <v>44046.775335648148</v>
      </c>
      <c r="C22" t="s">
        <v>39</v>
      </c>
      <c r="D22" t="s">
        <v>19</v>
      </c>
      <c r="E22">
        <v>1</v>
      </c>
      <c r="F22" s="30">
        <v>4.95</v>
      </c>
      <c r="G22" s="30">
        <v>4.95</v>
      </c>
    </row>
    <row r="23" spans="1:7" x14ac:dyDescent="0.3">
      <c r="A23">
        <v>1012</v>
      </c>
      <c r="B23" s="8">
        <v>44046.782222222224</v>
      </c>
      <c r="C23" t="s">
        <v>53</v>
      </c>
      <c r="D23" t="s">
        <v>6</v>
      </c>
      <c r="E23">
        <v>40</v>
      </c>
      <c r="F23" s="30">
        <v>2.99</v>
      </c>
      <c r="G23" s="30">
        <v>119.6</v>
      </c>
    </row>
    <row r="24" spans="1:7" x14ac:dyDescent="0.3">
      <c r="A24">
        <v>1012</v>
      </c>
      <c r="B24" s="8">
        <v>44046.782222222224</v>
      </c>
      <c r="C24" t="s">
        <v>53</v>
      </c>
      <c r="D24" t="s">
        <v>15</v>
      </c>
      <c r="E24">
        <v>1</v>
      </c>
      <c r="F24" s="30">
        <v>1.99</v>
      </c>
      <c r="G24" s="30">
        <v>1.99</v>
      </c>
    </row>
    <row r="25" spans="1:7" x14ac:dyDescent="0.3">
      <c r="A25">
        <v>1012</v>
      </c>
      <c r="B25" s="8">
        <v>44046.782222222224</v>
      </c>
      <c r="C25" t="s">
        <v>53</v>
      </c>
      <c r="D25" t="s">
        <v>19</v>
      </c>
      <c r="E25">
        <v>1</v>
      </c>
      <c r="F25" s="30">
        <v>4.95</v>
      </c>
      <c r="G25" s="30">
        <v>4.95</v>
      </c>
    </row>
    <row r="26" spans="1:7" x14ac:dyDescent="0.3">
      <c r="A26">
        <v>1012</v>
      </c>
      <c r="B26" s="8">
        <v>44046.782222222224</v>
      </c>
      <c r="C26" t="s">
        <v>53</v>
      </c>
      <c r="D26" t="s">
        <v>15</v>
      </c>
      <c r="E26">
        <v>1</v>
      </c>
      <c r="F26" s="30">
        <v>1.99</v>
      </c>
      <c r="G26" s="30">
        <v>1.99</v>
      </c>
    </row>
    <row r="27" spans="1:7" x14ac:dyDescent="0.3">
      <c r="A27">
        <v>1012</v>
      </c>
      <c r="B27" s="8">
        <v>44046.782222222224</v>
      </c>
      <c r="C27" t="s">
        <v>53</v>
      </c>
      <c r="D27" t="s">
        <v>21</v>
      </c>
      <c r="E27">
        <v>1</v>
      </c>
      <c r="F27" s="30">
        <v>4.95</v>
      </c>
      <c r="G27" s="30">
        <v>4.95</v>
      </c>
    </row>
    <row r="28" spans="1:7" x14ac:dyDescent="0.3">
      <c r="A28">
        <v>1013</v>
      </c>
      <c r="B28" s="8">
        <v>44187.401377314818</v>
      </c>
      <c r="C28" t="s">
        <v>53</v>
      </c>
      <c r="D28" t="s">
        <v>6</v>
      </c>
      <c r="E28">
        <v>1</v>
      </c>
      <c r="F28" s="30">
        <v>2.99</v>
      </c>
      <c r="G28" s="30">
        <v>2.99</v>
      </c>
    </row>
    <row r="29" spans="1:7" x14ac:dyDescent="0.3">
      <c r="A29">
        <v>1013</v>
      </c>
      <c r="B29" s="8">
        <v>44187.401377314818</v>
      </c>
      <c r="C29" t="s">
        <v>53</v>
      </c>
      <c r="D29" t="s">
        <v>7</v>
      </c>
      <c r="E29">
        <v>1</v>
      </c>
      <c r="F29" s="30">
        <v>0.99</v>
      </c>
      <c r="G29" s="30">
        <v>0.99</v>
      </c>
    </row>
    <row r="30" spans="1:7" x14ac:dyDescent="0.3">
      <c r="A30">
        <v>1013</v>
      </c>
      <c r="B30" s="8">
        <v>44187.401377314818</v>
      </c>
      <c r="C30" t="s">
        <v>53</v>
      </c>
      <c r="D30" t="s">
        <v>13</v>
      </c>
      <c r="E30">
        <v>1</v>
      </c>
      <c r="F30" s="30">
        <v>3.49</v>
      </c>
      <c r="G30" s="30">
        <v>3.49</v>
      </c>
    </row>
    <row r="31" spans="1:7" x14ac:dyDescent="0.3">
      <c r="A31">
        <v>1013</v>
      </c>
      <c r="B31" s="8">
        <v>44187.401377314818</v>
      </c>
      <c r="C31" t="s">
        <v>53</v>
      </c>
      <c r="D31" t="s">
        <v>13</v>
      </c>
      <c r="E31">
        <v>1</v>
      </c>
      <c r="F31" s="30">
        <v>3.49</v>
      </c>
      <c r="G31" s="30">
        <v>3.49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personal</cp:lastModifiedBy>
  <cp:lastPrinted>2020-08-03T12:53:02Z</cp:lastPrinted>
  <dcterms:created xsi:type="dcterms:W3CDTF">2020-02-21T23:03:52Z</dcterms:created>
  <dcterms:modified xsi:type="dcterms:W3CDTF">2020-12-22T04:14:39Z</dcterms:modified>
</cp:coreProperties>
</file>